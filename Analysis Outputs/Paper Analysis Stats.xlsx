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wk/Documents/Uniseg/"/>
    </mc:Choice>
  </mc:AlternateContent>
  <xr:revisionPtr revIDLastSave="0" documentId="13_ncr:1_{1839FCC1-63B9-E546-A657-05A2EC4D2376}" xr6:coauthVersionLast="47" xr6:coauthVersionMax="47" xr10:uidLastSave="{00000000-0000-0000-0000-000000000000}"/>
  <bookViews>
    <workbookView xWindow="2380" yWindow="1740" windowWidth="27260" windowHeight="16460" xr2:uid="{9B3D5853-880A-4B43-844B-014346357E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1" l="1"/>
  <c r="C50" i="1"/>
  <c r="D50" i="1"/>
  <c r="E50" i="1"/>
  <c r="F50" i="1"/>
  <c r="G50" i="1"/>
  <c r="H50" i="1"/>
  <c r="I50" i="1"/>
  <c r="J50" i="1"/>
  <c r="B55" i="1"/>
  <c r="B56" i="1"/>
  <c r="B57" i="1"/>
  <c r="B58" i="1"/>
</calcChain>
</file>

<file path=xl/sharedStrings.xml><?xml version="1.0" encoding="utf-8"?>
<sst xmlns="http://schemas.openxmlformats.org/spreadsheetml/2006/main" count="275" uniqueCount="125">
  <si>
    <t>ChatGPT 5.2</t>
  </si>
  <si>
    <t>Source</t>
  </si>
  <si>
    <t>Sample Size</t>
  </si>
  <si>
    <t>Histologic Type N (%)</t>
  </si>
  <si>
    <t>Stage N (%)</t>
  </si>
  <si>
    <t>Method of ctDNA Analysis</t>
  </si>
  <si>
    <t>Tumor Informed vs Agnostic</t>
  </si>
  <si>
    <t>Collection Timepoints</t>
  </si>
  <si>
    <t>Outcomes</t>
  </si>
  <si>
    <t>Study Design</t>
  </si>
  <si>
    <t>Landmark vs Surveillance Analysis</t>
  </si>
  <si>
    <t>Ketch et al., 2025</t>
  </si>
  <si>
    <t>Endometrioid: NR; Non-endometrioid: NR</t>
  </si>
  <si>
    <t>I: 59 (96.7%); II: 2 (3.3%); III: 0 (0%); IV: 0 (0%)</t>
  </si>
  <si>
    <t>NGS (tumor-informed Signatera: WES to design a personalized 16-plex mPCR-NGS assay)</t>
  </si>
  <si>
    <t>Tumor informed</t>
  </si>
  <si>
    <t>Post-op and surveillance: postoperative window, postdefinitive therapy/postcurative surgery window, and surveillance window</t>
  </si>
  <si>
    <t>RFS</t>
  </si>
  <si>
    <t>Retrospective (real-world data)</t>
  </si>
  <si>
    <t>Both</t>
  </si>
  <si>
    <t>Liu et al., 2024</t>
  </si>
  <si>
    <t>Endometrioid: NR; Non-endometrioid: NR (reported only as Type I vs Type II)</t>
  </si>
  <si>
    <t>I: 132 (30.2%); II: 103 (23.6%); III: 144 (33.0%); IV: 58 (13.3%)</t>
  </si>
  <si>
    <t>ddPCR (plasma ctDNA detection by droplet digital PCR)</t>
  </si>
  <si>
    <t>NR</t>
  </si>
  <si>
    <t>Post-op only (blood collected 4–10 weeks after surgery)</t>
  </si>
  <si>
    <t>Retrospective (training 2015–2019; validation cohort 2020–2021)</t>
  </si>
  <si>
    <t>Landmark</t>
  </si>
  <si>
    <t>Chardonnet et al., 2025</t>
  </si>
  <si>
    <t>Endometrioid: 95 (74.2%); Non-endometrioid: 33 (25.8%)</t>
  </si>
  <si>
    <t>I: 100 (78.1%); II: 6 (4.7%); III: 22 (17.2%); IV: 0 (0.0%)</t>
  </si>
  <si>
    <t>ddPCR (bisulfite-based methylation ddPCR targeting OXT and ZSCAN12)</t>
  </si>
  <si>
    <t>Tumor agnostic</t>
  </si>
  <si>
    <t>Pre-op only (plasma sample before surgery)</t>
  </si>
  <si>
    <t>Event-free survival (progression/relapse)</t>
  </si>
  <si>
    <t>Prospective biocollection with retrospective analysis</t>
  </si>
  <si>
    <t>Casas-Arozamena et al., 2024</t>
  </si>
  <si>
    <t>Endometrioid (EEC): 148/196 (76%); Non-endometrioid (NEEC): 48/196 (24%)</t>
  </si>
  <si>
    <t>I: 126/193 (65%); II: 29/193 (15%); III: 29/193 (15%); IV: 9/193 (4.7%)</t>
  </si>
  <si>
    <t>ddPCR in plasma using patient-specific assays derived from uterine aspirate mutational profile; UA profiled by targeted sequencing (Oncomine Comprehensive Panel v3)</t>
  </si>
  <si>
    <t>Both: baseline at surgery and longitudinal post-op (q6 months up to 2 years; suspected recurrence; subset at 1 month)</t>
  </si>
  <si>
    <t>DFS; DSS</t>
  </si>
  <si>
    <t>Prospective</t>
  </si>
  <si>
    <t>Gressel et al., 2020</t>
  </si>
  <si>
    <t>Endometrioid: 47 (51.6%); Non-endometrioid: 44 (48.4%)</t>
  </si>
  <si>
    <t>I: 41 (45.1%); II: 16 (17.6%); III: 22 (24.2%); IV: 12 (13.2%)</t>
  </si>
  <si>
    <t>Other: serum cfDNA extraction + SPRI size-selection for LMW cfDNA + Qubit quantification</t>
  </si>
  <si>
    <t>Pre-op (immediately prior to surgical staging)</t>
  </si>
  <si>
    <t>OS</t>
  </si>
  <si>
    <t>Prospective (sample collection)</t>
  </si>
  <si>
    <t>NotebookLM</t>
  </si>
  <si>
    <t>- I: 59 (96.7%)&lt;br&gt;- II: 2 (3.3%)&lt;br&gt;- III: 0 (0%)&lt;br&gt;- IV: 0 (0%)</t>
  </si>
  <si>
    <t>NGS (mPCR-NGS)</t>
  </si>
  <si>
    <t>Post-op</t>
  </si>
  <si>
    <t>Retrospective</t>
  </si>
  <si>
    <t>- Endometrioid: 361 (82.6%)&lt;br&gt;- Non-endometrioid: 76 (17.4%)</t>
  </si>
  <si>
    <t>- I: 132 (30.2%)&lt;br&gt;- II: 103 (23.6%)&lt;br&gt;- III: 144 (33.0%)&lt;br&gt;- IV: 58 (13.3%)</t>
  </si>
  <si>
    <t>ddPCR</t>
  </si>
  <si>
    <t>- Endometrioid: 95 (74.2%)&lt;br&gt;- Non-endometrioid: 33 (25.8%)</t>
  </si>
  <si>
    <t>- I: 100 (78.1%)&lt;br&gt;- II: 6 (4.7%)&lt;br&gt;- III: 22 (17.2%)&lt;br&gt;- IV: 0 (0%)</t>
  </si>
  <si>
    <t>Pre-op</t>
  </si>
  <si>
    <t>EFS</t>
  </si>
  <si>
    <t>- Endometrioid: 148 (76%)&lt;br&gt;- Non-endometrioid: 48 (24%)</t>
  </si>
  <si>
    <t>- I: 126 (65%)&lt;br&gt;- II: 29 (15%)&lt;br&gt;- III: 29 (15%)&lt;br&gt;- IV: 9 (4.7%)</t>
  </si>
  <si>
    <t>DFS, DSS</t>
  </si>
  <si>
    <t>- Endometrioid: 47 (51.6%)&lt;br&gt;- Non-endometrioid: 44 (48.4%)</t>
  </si>
  <si>
    <t>- I: 41 (45%)&lt;br&gt;- II: 16 (18%)&lt;br&gt;- III: 22 (24%)&lt;br&gt;- IV: 12 (13%)</t>
  </si>
  <si>
    <t>Other (Fluorometric quantification)</t>
  </si>
  <si>
    <t>Gemini 3 Pro</t>
  </si>
  <si>
    <t>I: 59 (96.7%), II: 2 (3.3%), III: 0 (0%), IV: 0 (0%)</t>
  </si>
  <si>
    <t>Endometrioid: 361 (82.6%), Non-endometrioid: 76 (17.4%)</t>
  </si>
  <si>
    <t>I: 132 (30.2%), II: 103 (23.6%), III: 144 (33.0%), IV: 58 (13.3%)</t>
  </si>
  <si>
    <t>Endometrioid: 95 (74.2%), Non-endometrioid: 33 (25.8%)</t>
  </si>
  <si>
    <t>I: 100 (78.1%), II: 6 (4.7%), III: 22 (17.2%), IV: 0 (0%)</t>
  </si>
  <si>
    <t>ddPCR (Methylation-based)</t>
  </si>
  <si>
    <t>Endometrioid: 148 (76%), Non-endometrioid: 48 (24%)</t>
  </si>
  <si>
    <t>I: 126 (65%), II: 29 (15%), III: 29 (15%), IV: 9 (4.7%)</t>
  </si>
  <si>
    <t>Both (Pre-op &amp; Post-op)</t>
  </si>
  <si>
    <t>Endometrioid: 47 (51.6%), Non-endometrioid: 44 (48.4%)</t>
  </si>
  <si>
    <t>I: 41 (45%), II: 16 (18%), III: 22 (24%), IV: 12 (13%)</t>
  </si>
  <si>
    <t>Other (Fluorometric quantification / Qubit)</t>
  </si>
  <si>
    <t>Claude Sonnet 4.6</t>
  </si>
  <si>
    <t>Sample Size (N)</t>
  </si>
  <si>
    <t>Histologic Type N (%) - Endometrioid / Non-endometrioid</t>
  </si>
  <si>
    <t>Stage N (%) - I / II / III / IV</t>
  </si>
  <si>
    <t>61 (Stage I-II EC)</t>
  </si>
  <si>
    <t>NR for this subcohort</t>
  </si>
  <si>
    <t>Stage I-II only; exact I vs II breakdown NR</t>
  </si>
  <si>
    <t>Tumor-informed personalized ctDNA assay (Signatera, Natera; WES-based multiplex PCR + NGS)</t>
  </si>
  <si>
    <t>Tumor-informed</t>
  </si>
  <si>
    <t>Post-operative (4-10 weeks) + longitudinal follow-up</t>
  </si>
  <si>
    <t>DFS; OS</t>
  </si>
  <si>
    <t>Retrospective analysis of prospectively collected samples</t>
  </si>
  <si>
    <t>Both (landmark post-surgery + surveillance)</t>
  </si>
  <si>
    <t>294 training + 143 validation = 437 total</t>
  </si>
  <si>
    <t>EEC: ~76%; NEEC: ~24% (training set)</t>
  </si>
  <si>
    <t>I: 45%; II: 18%; III: 24%; IV: 13% (training set)</t>
  </si>
  <si>
    <t>Targeted NGS (Oncomine Comprehensive Panel v3) + personalized ddPCR</t>
  </si>
  <si>
    <t>Both (pre-operative + longitudinal every 6 months x2 years; at recurrence)</t>
  </si>
  <si>
    <t>RFS; DSS</t>
  </si>
  <si>
    <t>Retrospective training (2015-2019) + prospective validation (2020-2021)</t>
  </si>
  <si>
    <t>Both (landmark pre-surgery + surveillance)</t>
  </si>
  <si>
    <t>128</t>
  </si>
  <si>
    <t>Endometrioid ~75% (varies by ctDNA subgroup); Non-endometrioid ~25%</t>
  </si>
  <si>
    <t>IA: 60%; IB: 26%; II: 5%; III: ~9% (FIGO 2018, Stage I-III only)</t>
  </si>
  <si>
    <t>ddPCR targeting universally hypermethylated loci (OXT, ZSCAN12)</t>
  </si>
  <si>
    <t>Tumor-agnostic</t>
  </si>
  <si>
    <t>Pre-operative</t>
  </si>
  <si>
    <t>EFS (event-free survival)</t>
  </si>
  <si>
    <t>Prospective biospecimen collection (2021-2023), retrospective outcome analysis</t>
  </si>
  <si>
    <t>198</t>
  </si>
  <si>
    <t>EEC: 148 (76%); NEEC: 48 (24%)</t>
  </si>
  <si>
    <t>I: 126 (65%); II: 29 (15%); III: 29 (15%); IV: 9 (4.7%)</t>
  </si>
  <si>
    <t>Prospective biospecimen collection, retrospective analysis</t>
  </si>
  <si>
    <t>91 (+ 22 post-menopausal controls)</t>
  </si>
  <si>
    <t>Endometrioid: ~76%; Non-endometrioid (UPSC, CCC, CS, LMS): ~24%</t>
  </si>
  <si>
    <t>I: 65%; II: 15%; III: 15%; IV: 4.7%</t>
  </si>
  <si>
    <t>Total cfDNA and LMW cfDNA quantification (QIAamp extraction + Qubit fluorometry)</t>
  </si>
  <si>
    <t>Retrospective (biobank samples)</t>
  </si>
  <si>
    <t>Model</t>
  </si>
  <si>
    <t>Informed vs Agnostic</t>
  </si>
  <si>
    <t>Overall Model Accuracy</t>
  </si>
  <si>
    <t>Accuracy</t>
  </si>
  <si>
    <t>Average accuracy per column</t>
  </si>
  <si>
    <t>Accuracy Heatmap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</si>
</sst>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1" fillId="0" borderId="0" xfId="0" applyFont="1"/>
    <xf numFmtId="0" fontId="0" fillId="2" borderId="0" xfId="0" applyFill="1"/>
    <xf numFmtId="0" fontId="1" fillId="0" borderId="0" xfId="0" applyFont="1" applyBorder="1"/>
    <xf numFmtId="0" fontId="0" fillId="0" borderId="0" xfId="0" applyBorder="1"/>
    <xf numFmtId="0" fontId="1" fillId="0" borderId="1" xfId="0" applyFont="1" applyBorder="1"/>
    <xf numFmtId="0" fontId="0" fillId="0" borderId="1" xfId="0" applyBorder="1"/>
    <xf numFmtId="0" fontId="0" fillId="0" borderId="0" xfId="0" applyFont="1" applyBorder="1"/>
    <xf numFmtId="0" fontId="0" fillId="0" borderId="1" xfId="0" applyFont="1" applyBorder="1"/>
    <xf numFmtId="0" fontId="1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Accuracy per Column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Sheet1!$B$49:$J$49</c:f>
              <c:strCache>
                <c:ptCount val="9"/>
                <c:pt idx="0">
                  <c:v>Sample Size (N)</c:v>
                </c:pt>
                <c:pt idx="1">
                  <c:v>Histologic Type N (%) - Endometrioid / Non-endometrioid</c:v>
                </c:pt>
                <c:pt idx="2">
                  <c:v>Stage N (%) - I / II / III / IV</c:v>
                </c:pt>
                <c:pt idx="3">
                  <c:v>Method of ctDNA Analysis</c:v>
                </c:pt>
                <c:pt idx="4">
                  <c:v>Informed vs Agnostic</c:v>
                </c:pt>
                <c:pt idx="5">
                  <c:v>Collection Timepoints</c:v>
                </c:pt>
                <c:pt idx="6">
                  <c:v>Outcomes</c:v>
                </c:pt>
                <c:pt idx="7">
                  <c:v>Study Design</c:v>
                </c:pt>
                <c:pt idx="8">
                  <c:v>Landmark vs Surveillance Analysis</c:v>
                </c:pt>
              </c:strCache>
            </c:strRef>
          </c:cat>
          <c:val>
            <c:numRef>
              <c:f>Sheet1!$B$50:$J$50</c:f>
              <c:numCache>
                <c:formatCode>General</c:formatCode>
                <c:ptCount val="9"/>
                <c:pt idx="0">
                  <c:v>95</c:v>
                </c:pt>
                <c:pt idx="1">
                  <c:v>81.25</c:v>
                </c:pt>
                <c:pt idx="2">
                  <c:v>80</c:v>
                </c:pt>
                <c:pt idx="3">
                  <c:v>100</c:v>
                </c:pt>
                <c:pt idx="4">
                  <c:v>85</c:v>
                </c:pt>
                <c:pt idx="5">
                  <c:v>100</c:v>
                </c:pt>
                <c:pt idx="6">
                  <c:v>100</c:v>
                </c:pt>
                <c:pt idx="7">
                  <c:v>90</c:v>
                </c:pt>
                <c:pt idx="8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10-274D-A1A2-2DE09F4859B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390978784"/>
        <c:axId val="390980512"/>
      </c:barChart>
      <c:catAx>
        <c:axId val="39097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980512"/>
        <c:crosses val="autoZero"/>
        <c:auto val="1"/>
        <c:lblAlgn val="ctr"/>
        <c:lblOffset val="100"/>
        <c:noMultiLvlLbl val="0"/>
      </c:catAx>
      <c:valAx>
        <c:axId val="39098051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97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</a:t>
            </a:r>
            <a:r>
              <a:rPr lang="en-US" baseline="0"/>
              <a:t> Model Accuracy 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Sheet1!$B$54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Sheet1!$A$55:$A$58</c:f>
              <c:strCache>
                <c:ptCount val="4"/>
                <c:pt idx="0">
                  <c:v>Claude Sonnet 4.6</c:v>
                </c:pt>
                <c:pt idx="1">
                  <c:v>Gemini 3 Pro</c:v>
                </c:pt>
                <c:pt idx="2">
                  <c:v>NotebookLM</c:v>
                </c:pt>
                <c:pt idx="3">
                  <c:v>ChatGPT 5.2</c:v>
                </c:pt>
              </c:strCache>
            </c:strRef>
          </c:cat>
          <c:val>
            <c:numRef>
              <c:f>Sheet1!$B$55:$B$58</c:f>
              <c:numCache>
                <c:formatCode>General</c:formatCode>
                <c:ptCount val="4"/>
                <c:pt idx="0">
                  <c:v>76.666666666666671</c:v>
                </c:pt>
                <c:pt idx="1">
                  <c:v>100</c:v>
                </c:pt>
                <c:pt idx="2">
                  <c:v>95.555555555555557</c:v>
                </c:pt>
                <c:pt idx="3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1B-C440-B2F9-4FA3B8C21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6265296"/>
        <c:axId val="326885792"/>
      </c:barChart>
      <c:catAx>
        <c:axId val="326265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885792"/>
        <c:crosses val="autoZero"/>
        <c:auto val="1"/>
        <c:lblAlgn val="ctr"/>
        <c:lblOffset val="100"/>
        <c:noMultiLvlLbl val="0"/>
      </c:catAx>
      <c:valAx>
        <c:axId val="3268857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6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863600</xdr:colOff>
      <xdr:row>51</xdr:row>
      <xdr:rowOff>101600</xdr:rowOff>
    </xdr:from>
    <xdr:to>
      <xdr:col>9</xdr:col>
      <xdr:colOff>25400</xdr:colOff>
      <xdr:row>65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974F0B-D854-AB89-60A0-6424990388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857250</xdr:colOff>
      <xdr:row>51</xdr:row>
      <xdr:rowOff>114300</xdr:rowOff>
    </xdr:from>
    <xdr:to>
      <xdr:col>5</xdr:col>
      <xdr:colOff>565150</xdr:colOff>
      <xdr:row>65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345BA89-1D0E-1C54-834C-FE598A4F46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DAC3C-B5AE-F843-9200-1A3B831D0CAF}">
  <dimension ref="A1:L58"/>
  <sheetViews>
    <sheetView tabSelected="1" zoomScaleNormal="100" workbookViewId="0">
      <selection activeCell="F14" sqref="F14"/>
    </sheetView>
  </sheetViews>
  <sheetFormatPr baseColWidth="10" defaultRowHeight="16" x14ac:dyDescent="0.2"/>
  <cols>
    <col min="1" max="1" width="15.5" customWidth="1"/>
    <col min="3" max="3" width="18.5" customWidth="1"/>
    <col min="4" max="4" width="23" customWidth="1"/>
    <col min="5" max="5" width="22.33203125" customWidth="1"/>
    <col min="6" max="6" width="19.1640625" customWidth="1"/>
    <col min="7" max="7" width="19.6640625" customWidth="1"/>
    <col min="8" max="8" width="17.33203125" customWidth="1"/>
    <col min="9" max="9" width="14.83203125" customWidth="1"/>
    <col min="10" max="10" width="30.1640625" customWidth="1"/>
  </cols>
  <sheetData>
    <row r="1" spans="1:12" x14ac:dyDescent="0.2">
      <c r="A1" t="s">
        <v>0</v>
      </c>
    </row>
    <row r="2" spans="1:12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2" x14ac:dyDescent="0.2">
      <c r="A3" s="1" t="s">
        <v>11</v>
      </c>
      <c r="B3" s="2">
        <v>61</v>
      </c>
      <c r="C3" s="3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3" t="s">
        <v>17</v>
      </c>
      <c r="I3" s="2" t="s">
        <v>18</v>
      </c>
      <c r="J3" s="3" t="s">
        <v>19</v>
      </c>
    </row>
    <row r="4" spans="1:12" x14ac:dyDescent="0.2">
      <c r="A4" s="1" t="s">
        <v>20</v>
      </c>
      <c r="B4" s="2">
        <v>437</v>
      </c>
      <c r="C4" s="2" t="s">
        <v>21</v>
      </c>
      <c r="D4" s="2" t="s">
        <v>22</v>
      </c>
      <c r="E4" s="2" t="s">
        <v>23</v>
      </c>
      <c r="F4" s="3" t="s">
        <v>24</v>
      </c>
      <c r="G4" s="2" t="s">
        <v>25</v>
      </c>
      <c r="H4" s="3" t="s">
        <v>17</v>
      </c>
      <c r="I4" s="2" t="s">
        <v>26</v>
      </c>
      <c r="J4" s="2" t="s">
        <v>27</v>
      </c>
    </row>
    <row r="5" spans="1:12" x14ac:dyDescent="0.2">
      <c r="A5" s="1" t="s">
        <v>28</v>
      </c>
      <c r="B5" s="2">
        <v>128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3" t="s">
        <v>34</v>
      </c>
      <c r="I5" s="2" t="s">
        <v>35</v>
      </c>
      <c r="J5" s="2" t="s">
        <v>27</v>
      </c>
    </row>
    <row r="6" spans="1:12" x14ac:dyDescent="0.2">
      <c r="A6" s="1" t="s">
        <v>36</v>
      </c>
      <c r="B6" s="3">
        <v>177</v>
      </c>
      <c r="C6" s="2" t="s">
        <v>37</v>
      </c>
      <c r="D6" s="2" t="s">
        <v>38</v>
      </c>
      <c r="E6" s="2" t="s">
        <v>39</v>
      </c>
      <c r="F6" s="2" t="s">
        <v>15</v>
      </c>
      <c r="G6" s="3" t="s">
        <v>40</v>
      </c>
      <c r="H6" s="3" t="s">
        <v>41</v>
      </c>
      <c r="I6" s="2" t="s">
        <v>42</v>
      </c>
      <c r="J6" s="3" t="s">
        <v>19</v>
      </c>
    </row>
    <row r="7" spans="1:12" x14ac:dyDescent="0.2">
      <c r="A7" s="1" t="s">
        <v>43</v>
      </c>
      <c r="B7" s="2">
        <v>91</v>
      </c>
      <c r="C7" s="2" t="s">
        <v>44</v>
      </c>
      <c r="D7" s="2" t="s">
        <v>45</v>
      </c>
      <c r="E7" s="3" t="s">
        <v>46</v>
      </c>
      <c r="F7" s="2" t="s">
        <v>32</v>
      </c>
      <c r="G7" s="2" t="s">
        <v>47</v>
      </c>
      <c r="H7" s="2" t="s">
        <v>48</v>
      </c>
      <c r="I7" s="2" t="s">
        <v>49</v>
      </c>
      <c r="J7" s="2" t="s">
        <v>27</v>
      </c>
    </row>
    <row r="9" spans="1:12" x14ac:dyDescent="0.2">
      <c r="A9" t="s">
        <v>50</v>
      </c>
    </row>
    <row r="10" spans="1:12" x14ac:dyDescent="0.2">
      <c r="A10" s="4" t="s">
        <v>1</v>
      </c>
      <c r="B10" s="4" t="s">
        <v>2</v>
      </c>
      <c r="C10" s="4" t="s">
        <v>3</v>
      </c>
      <c r="D10" s="4" t="s">
        <v>4</v>
      </c>
      <c r="E10" s="4" t="s">
        <v>5</v>
      </c>
      <c r="F10" s="4" t="s">
        <v>6</v>
      </c>
      <c r="G10" s="4" t="s">
        <v>7</v>
      </c>
      <c r="H10" s="4" t="s">
        <v>8</v>
      </c>
      <c r="I10" s="4" t="s">
        <v>9</v>
      </c>
      <c r="J10" s="4" t="s">
        <v>10</v>
      </c>
      <c r="K10" s="4"/>
      <c r="L10" s="4"/>
    </row>
    <row r="11" spans="1:12" x14ac:dyDescent="0.2">
      <c r="A11" s="4" t="s">
        <v>11</v>
      </c>
      <c r="B11">
        <v>61</v>
      </c>
      <c r="C11" s="5" t="s">
        <v>24</v>
      </c>
      <c r="D11" t="s">
        <v>51</v>
      </c>
      <c r="E11" t="s">
        <v>52</v>
      </c>
      <c r="F11" t="s">
        <v>15</v>
      </c>
      <c r="G11" t="s">
        <v>53</v>
      </c>
      <c r="H11" s="5" t="s">
        <v>17</v>
      </c>
      <c r="I11" t="s">
        <v>54</v>
      </c>
      <c r="J11" s="5" t="s">
        <v>19</v>
      </c>
    </row>
    <row r="12" spans="1:12" x14ac:dyDescent="0.2">
      <c r="A12" s="4" t="s">
        <v>20</v>
      </c>
      <c r="B12">
        <v>437</v>
      </c>
      <c r="C12" s="5" t="s">
        <v>55</v>
      </c>
      <c r="D12" t="s">
        <v>56</v>
      </c>
      <c r="E12" t="s">
        <v>57</v>
      </c>
      <c r="F12" s="5" t="s">
        <v>24</v>
      </c>
      <c r="G12" t="s">
        <v>53</v>
      </c>
      <c r="H12" s="5" t="s">
        <v>17</v>
      </c>
      <c r="I12" t="s">
        <v>54</v>
      </c>
      <c r="J12" t="s">
        <v>27</v>
      </c>
    </row>
    <row r="13" spans="1:12" x14ac:dyDescent="0.2">
      <c r="A13" s="4" t="s">
        <v>28</v>
      </c>
      <c r="B13">
        <v>128</v>
      </c>
      <c r="C13" t="s">
        <v>58</v>
      </c>
      <c r="D13" t="s">
        <v>59</v>
      </c>
      <c r="E13" t="s">
        <v>57</v>
      </c>
      <c r="F13" t="s">
        <v>32</v>
      </c>
      <c r="G13" t="s">
        <v>60</v>
      </c>
      <c r="H13" s="5" t="s">
        <v>61</v>
      </c>
      <c r="I13" s="5" t="s">
        <v>54</v>
      </c>
      <c r="J13" t="s">
        <v>27</v>
      </c>
    </row>
    <row r="14" spans="1:12" x14ac:dyDescent="0.2">
      <c r="A14" s="4" t="s">
        <v>36</v>
      </c>
      <c r="B14" s="5">
        <v>177</v>
      </c>
      <c r="C14" t="s">
        <v>62</v>
      </c>
      <c r="D14" t="s">
        <v>63</v>
      </c>
      <c r="E14" t="s">
        <v>57</v>
      </c>
      <c r="F14" t="s">
        <v>15</v>
      </c>
      <c r="G14" s="5" t="s">
        <v>19</v>
      </c>
      <c r="H14" s="5" t="s">
        <v>64</v>
      </c>
      <c r="I14" t="s">
        <v>42</v>
      </c>
      <c r="J14" s="5" t="s">
        <v>19</v>
      </c>
    </row>
    <row r="15" spans="1:12" x14ac:dyDescent="0.2">
      <c r="A15" s="4" t="s">
        <v>43</v>
      </c>
      <c r="B15">
        <v>91</v>
      </c>
      <c r="C15" t="s">
        <v>65</v>
      </c>
      <c r="D15" t="s">
        <v>66</v>
      </c>
      <c r="E15" s="5" t="s">
        <v>67</v>
      </c>
      <c r="F15" t="s">
        <v>32</v>
      </c>
      <c r="G15" t="s">
        <v>60</v>
      </c>
      <c r="H15" t="s">
        <v>48</v>
      </c>
      <c r="I15" t="s">
        <v>42</v>
      </c>
      <c r="J15" t="s">
        <v>27</v>
      </c>
    </row>
    <row r="17" spans="1:12" x14ac:dyDescent="0.2">
      <c r="A17" t="s">
        <v>68</v>
      </c>
    </row>
    <row r="18" spans="1:12" x14ac:dyDescent="0.2">
      <c r="A18" s="1" t="s">
        <v>1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8</v>
      </c>
      <c r="I18" s="1" t="s">
        <v>9</v>
      </c>
      <c r="J18" s="1" t="s">
        <v>10</v>
      </c>
    </row>
    <row r="19" spans="1:12" x14ac:dyDescent="0.2">
      <c r="A19" s="1" t="s">
        <v>11</v>
      </c>
      <c r="B19" s="2">
        <v>61</v>
      </c>
      <c r="C19" s="3" t="s">
        <v>24</v>
      </c>
      <c r="D19" s="2" t="s">
        <v>69</v>
      </c>
      <c r="E19" s="2" t="s">
        <v>52</v>
      </c>
      <c r="F19" s="2" t="s">
        <v>15</v>
      </c>
      <c r="G19" s="2" t="s">
        <v>53</v>
      </c>
      <c r="H19" s="3" t="s">
        <v>17</v>
      </c>
      <c r="I19" s="2" t="s">
        <v>54</v>
      </c>
      <c r="J19" s="3" t="s">
        <v>19</v>
      </c>
    </row>
    <row r="20" spans="1:12" x14ac:dyDescent="0.2">
      <c r="A20" s="1" t="s">
        <v>20</v>
      </c>
      <c r="B20" s="2">
        <v>437</v>
      </c>
      <c r="C20" s="3" t="s">
        <v>70</v>
      </c>
      <c r="D20" s="2" t="s">
        <v>71</v>
      </c>
      <c r="E20" s="2" t="s">
        <v>57</v>
      </c>
      <c r="F20" s="2" t="s">
        <v>32</v>
      </c>
      <c r="G20" s="2" t="s">
        <v>53</v>
      </c>
      <c r="H20" s="3" t="s">
        <v>17</v>
      </c>
      <c r="I20" s="2" t="s">
        <v>54</v>
      </c>
      <c r="J20" s="2" t="s">
        <v>27</v>
      </c>
    </row>
    <row r="21" spans="1:12" x14ac:dyDescent="0.2">
      <c r="A21" s="1" t="s">
        <v>28</v>
      </c>
      <c r="B21" s="2">
        <v>128</v>
      </c>
      <c r="C21" s="2" t="s">
        <v>72</v>
      </c>
      <c r="D21" s="2" t="s">
        <v>73</v>
      </c>
      <c r="E21" s="2" t="s">
        <v>74</v>
      </c>
      <c r="F21" s="2" t="s">
        <v>32</v>
      </c>
      <c r="G21" s="2" t="s">
        <v>60</v>
      </c>
      <c r="H21" s="3" t="s">
        <v>61</v>
      </c>
      <c r="I21" s="2" t="s">
        <v>42</v>
      </c>
      <c r="J21" s="2" t="s">
        <v>27</v>
      </c>
    </row>
    <row r="22" spans="1:12" x14ac:dyDescent="0.2">
      <c r="A22" s="1" t="s">
        <v>36</v>
      </c>
      <c r="B22" s="3">
        <v>177</v>
      </c>
      <c r="C22" s="2" t="s">
        <v>75</v>
      </c>
      <c r="D22" s="2" t="s">
        <v>76</v>
      </c>
      <c r="E22" s="2" t="s">
        <v>57</v>
      </c>
      <c r="F22" s="2" t="s">
        <v>15</v>
      </c>
      <c r="G22" s="3" t="s">
        <v>77</v>
      </c>
      <c r="H22" s="3" t="s">
        <v>64</v>
      </c>
      <c r="I22" s="2" t="s">
        <v>42</v>
      </c>
      <c r="J22" s="3" t="s">
        <v>19</v>
      </c>
    </row>
    <row r="23" spans="1:12" x14ac:dyDescent="0.2">
      <c r="A23" s="1" t="s">
        <v>43</v>
      </c>
      <c r="B23" s="2">
        <v>91</v>
      </c>
      <c r="C23" s="2" t="s">
        <v>78</v>
      </c>
      <c r="D23" s="2" t="s">
        <v>79</v>
      </c>
      <c r="E23" s="3" t="s">
        <v>80</v>
      </c>
      <c r="F23" s="2" t="s">
        <v>32</v>
      </c>
      <c r="G23" s="2" t="s">
        <v>60</v>
      </c>
      <c r="H23" s="2" t="s">
        <v>48</v>
      </c>
      <c r="I23" s="2" t="s">
        <v>42</v>
      </c>
      <c r="J23" s="2" t="s">
        <v>27</v>
      </c>
    </row>
    <row r="25" spans="1:12" x14ac:dyDescent="0.2">
      <c r="A25" t="s">
        <v>81</v>
      </c>
    </row>
    <row r="26" spans="1:12" x14ac:dyDescent="0.2">
      <c r="A26" s="4" t="s">
        <v>1</v>
      </c>
      <c r="B26" s="4" t="s">
        <v>82</v>
      </c>
      <c r="C26" s="4" t="s">
        <v>83</v>
      </c>
      <c r="D26" s="4" t="s">
        <v>84</v>
      </c>
      <c r="E26" s="4" t="s">
        <v>5</v>
      </c>
      <c r="F26" s="4" t="s">
        <v>6</v>
      </c>
      <c r="G26" s="4" t="s">
        <v>7</v>
      </c>
      <c r="H26" s="4" t="s">
        <v>8</v>
      </c>
      <c r="I26" s="4" t="s">
        <v>9</v>
      </c>
      <c r="J26" s="4" t="s">
        <v>10</v>
      </c>
      <c r="K26" s="4"/>
      <c r="L26" s="4"/>
    </row>
    <row r="27" spans="1:12" x14ac:dyDescent="0.2">
      <c r="A27" s="4" t="s">
        <v>11</v>
      </c>
      <c r="B27" t="s">
        <v>85</v>
      </c>
      <c r="C27" s="5" t="s">
        <v>86</v>
      </c>
      <c r="D27" s="5" t="s">
        <v>87</v>
      </c>
      <c r="E27" t="s">
        <v>88</v>
      </c>
      <c r="F27" t="s">
        <v>89</v>
      </c>
      <c r="G27" t="s">
        <v>90</v>
      </c>
      <c r="H27" s="5" t="s">
        <v>91</v>
      </c>
      <c r="I27" t="s">
        <v>92</v>
      </c>
      <c r="J27" s="5" t="s">
        <v>93</v>
      </c>
    </row>
    <row r="28" spans="1:12" x14ac:dyDescent="0.2">
      <c r="A28" s="4" t="s">
        <v>20</v>
      </c>
      <c r="B28" t="s">
        <v>94</v>
      </c>
      <c r="C28" s="5" t="s">
        <v>95</v>
      </c>
      <c r="D28" s="5" t="s">
        <v>96</v>
      </c>
      <c r="E28" t="s">
        <v>97</v>
      </c>
      <c r="F28" s="5" t="s">
        <v>89</v>
      </c>
      <c r="G28" s="5" t="s">
        <v>98</v>
      </c>
      <c r="H28" s="5" t="s">
        <v>99</v>
      </c>
      <c r="I28" t="s">
        <v>100</v>
      </c>
      <c r="J28" s="5" t="s">
        <v>101</v>
      </c>
    </row>
    <row r="29" spans="1:12" x14ac:dyDescent="0.2">
      <c r="A29" s="4" t="s">
        <v>28</v>
      </c>
      <c r="B29" t="s">
        <v>102</v>
      </c>
      <c r="C29" t="s">
        <v>103</v>
      </c>
      <c r="D29" s="5" t="s">
        <v>104</v>
      </c>
      <c r="E29" t="s">
        <v>105</v>
      </c>
      <c r="F29" t="s">
        <v>106</v>
      </c>
      <c r="G29" t="s">
        <v>107</v>
      </c>
      <c r="H29" s="5" t="s">
        <v>108</v>
      </c>
      <c r="I29" t="s">
        <v>109</v>
      </c>
      <c r="J29" t="s">
        <v>27</v>
      </c>
    </row>
    <row r="30" spans="1:12" x14ac:dyDescent="0.2">
      <c r="A30" s="4" t="s">
        <v>36</v>
      </c>
      <c r="B30" t="s">
        <v>110</v>
      </c>
      <c r="C30" t="s">
        <v>111</v>
      </c>
      <c r="D30" t="s">
        <v>112</v>
      </c>
      <c r="E30" t="s">
        <v>97</v>
      </c>
      <c r="F30" t="s">
        <v>89</v>
      </c>
      <c r="G30" t="s">
        <v>107</v>
      </c>
      <c r="H30" s="5" t="s">
        <v>41</v>
      </c>
      <c r="I30" t="s">
        <v>113</v>
      </c>
      <c r="J30" s="5" t="s">
        <v>27</v>
      </c>
    </row>
    <row r="31" spans="1:12" x14ac:dyDescent="0.2">
      <c r="A31" s="4" t="s">
        <v>43</v>
      </c>
      <c r="B31" t="s">
        <v>114</v>
      </c>
      <c r="C31" s="5" t="s">
        <v>115</v>
      </c>
      <c r="D31" s="5" t="s">
        <v>116</v>
      </c>
      <c r="E31" s="5" t="s">
        <v>117</v>
      </c>
      <c r="F31" t="s">
        <v>106</v>
      </c>
      <c r="G31" t="s">
        <v>107</v>
      </c>
      <c r="H31" t="s">
        <v>48</v>
      </c>
      <c r="I31" s="5" t="s">
        <v>118</v>
      </c>
      <c r="J31" t="s">
        <v>27</v>
      </c>
    </row>
    <row r="33" spans="1:12" x14ac:dyDescent="0.2">
      <c r="A33" s="4" t="s">
        <v>119</v>
      </c>
      <c r="B33" s="4" t="s">
        <v>82</v>
      </c>
      <c r="C33" s="4" t="s">
        <v>83</v>
      </c>
      <c r="D33" s="4" t="s">
        <v>84</v>
      </c>
      <c r="E33" s="4" t="s">
        <v>5</v>
      </c>
      <c r="F33" s="4" t="s">
        <v>6</v>
      </c>
      <c r="G33" s="4" t="s">
        <v>7</v>
      </c>
      <c r="H33" s="4" t="s">
        <v>8</v>
      </c>
      <c r="I33" s="4" t="s">
        <v>9</v>
      </c>
      <c r="J33" s="4" t="s">
        <v>10</v>
      </c>
      <c r="K33" s="4"/>
      <c r="L33" s="4"/>
    </row>
    <row r="34" spans="1:12" x14ac:dyDescent="0.2">
      <c r="A34" t="s">
        <v>0</v>
      </c>
      <c r="B34">
        <v>100</v>
      </c>
      <c r="C34">
        <v>75</v>
      </c>
      <c r="D34">
        <v>100</v>
      </c>
      <c r="E34">
        <v>100</v>
      </c>
      <c r="F34">
        <v>80</v>
      </c>
      <c r="G34">
        <v>100</v>
      </c>
      <c r="H34">
        <v>100</v>
      </c>
      <c r="I34">
        <v>100</v>
      </c>
      <c r="J34">
        <v>100</v>
      </c>
    </row>
    <row r="35" spans="1:12" x14ac:dyDescent="0.2">
      <c r="A35" t="s">
        <v>50</v>
      </c>
      <c r="B35">
        <v>100</v>
      </c>
      <c r="C35">
        <v>100</v>
      </c>
      <c r="D35">
        <v>100</v>
      </c>
      <c r="E35">
        <v>100</v>
      </c>
      <c r="F35">
        <v>80</v>
      </c>
      <c r="G35">
        <v>100</v>
      </c>
      <c r="H35">
        <v>100</v>
      </c>
      <c r="I35">
        <v>80</v>
      </c>
      <c r="J35">
        <v>100</v>
      </c>
    </row>
    <row r="36" spans="1:12" x14ac:dyDescent="0.2">
      <c r="A36" t="s">
        <v>68</v>
      </c>
      <c r="B36">
        <v>100</v>
      </c>
      <c r="C36">
        <v>100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100</v>
      </c>
    </row>
    <row r="37" spans="1:12" x14ac:dyDescent="0.2">
      <c r="A37" t="s">
        <v>81</v>
      </c>
      <c r="B37">
        <v>80</v>
      </c>
      <c r="C37">
        <v>50</v>
      </c>
      <c r="D37">
        <v>20</v>
      </c>
      <c r="E37">
        <v>100</v>
      </c>
      <c r="F37">
        <v>80</v>
      </c>
      <c r="G37">
        <v>100</v>
      </c>
      <c r="H37">
        <v>100</v>
      </c>
      <c r="I37">
        <v>80</v>
      </c>
      <c r="J37">
        <v>80</v>
      </c>
    </row>
    <row r="40" spans="1:12" x14ac:dyDescent="0.2">
      <c r="A40" t="s">
        <v>124</v>
      </c>
    </row>
    <row r="41" spans="1:12" x14ac:dyDescent="0.2">
      <c r="A41" s="8" t="s">
        <v>119</v>
      </c>
      <c r="B41" s="8" t="s">
        <v>82</v>
      </c>
      <c r="C41" s="8" t="s">
        <v>83</v>
      </c>
      <c r="D41" s="8" t="s">
        <v>84</v>
      </c>
      <c r="E41" s="8" t="s">
        <v>5</v>
      </c>
      <c r="F41" s="8" t="s">
        <v>120</v>
      </c>
      <c r="G41" s="8" t="s">
        <v>7</v>
      </c>
      <c r="H41" s="8" t="s">
        <v>8</v>
      </c>
      <c r="I41" s="8" t="s">
        <v>9</v>
      </c>
      <c r="J41" s="8" t="s">
        <v>10</v>
      </c>
    </row>
    <row r="42" spans="1:12" x14ac:dyDescent="0.2">
      <c r="A42" s="9" t="s">
        <v>0</v>
      </c>
      <c r="B42" s="9">
        <v>100</v>
      </c>
      <c r="C42" s="9">
        <v>75</v>
      </c>
      <c r="D42" s="9">
        <v>100</v>
      </c>
      <c r="E42" s="9">
        <v>100</v>
      </c>
      <c r="F42" s="9">
        <v>80</v>
      </c>
      <c r="G42" s="9">
        <v>100</v>
      </c>
      <c r="H42" s="9">
        <v>100</v>
      </c>
      <c r="I42" s="9">
        <v>100</v>
      </c>
      <c r="J42" s="9">
        <v>100</v>
      </c>
    </row>
    <row r="43" spans="1:12" x14ac:dyDescent="0.2">
      <c r="A43" s="9" t="s">
        <v>50</v>
      </c>
      <c r="B43" s="9">
        <v>100</v>
      </c>
      <c r="C43" s="9">
        <v>100</v>
      </c>
      <c r="D43" s="9">
        <v>100</v>
      </c>
      <c r="E43" s="9">
        <v>100</v>
      </c>
      <c r="F43" s="9">
        <v>80</v>
      </c>
      <c r="G43" s="9">
        <v>100</v>
      </c>
      <c r="H43" s="9">
        <v>100</v>
      </c>
      <c r="I43" s="9">
        <v>80</v>
      </c>
      <c r="J43" s="9">
        <v>100</v>
      </c>
    </row>
    <row r="44" spans="1:12" x14ac:dyDescent="0.2">
      <c r="A44" s="9" t="s">
        <v>68</v>
      </c>
      <c r="B44" s="9">
        <v>100</v>
      </c>
      <c r="C44" s="9">
        <v>100</v>
      </c>
      <c r="D44" s="9">
        <v>100</v>
      </c>
      <c r="E44" s="9">
        <v>100</v>
      </c>
      <c r="F44" s="9">
        <v>100</v>
      </c>
      <c r="G44" s="9">
        <v>100</v>
      </c>
      <c r="H44" s="9">
        <v>100</v>
      </c>
      <c r="I44" s="9">
        <v>100</v>
      </c>
      <c r="J44" s="9">
        <v>100</v>
      </c>
    </row>
    <row r="45" spans="1:12" x14ac:dyDescent="0.2">
      <c r="A45" s="9" t="s">
        <v>81</v>
      </c>
      <c r="B45" s="9">
        <v>80</v>
      </c>
      <c r="C45" s="9">
        <v>50</v>
      </c>
      <c r="D45" s="9">
        <v>20</v>
      </c>
      <c r="E45" s="9">
        <v>100</v>
      </c>
      <c r="F45" s="9">
        <v>80</v>
      </c>
      <c r="G45" s="9">
        <v>100</v>
      </c>
      <c r="H45" s="9">
        <v>100</v>
      </c>
      <c r="I45" s="9">
        <v>80</v>
      </c>
      <c r="J45" s="9">
        <v>80</v>
      </c>
    </row>
    <row r="46" spans="1:12" x14ac:dyDescent="0.2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2" x14ac:dyDescent="0.2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2" x14ac:dyDescent="0.2">
      <c r="A48" s="10" t="s">
        <v>123</v>
      </c>
      <c r="B48" s="7"/>
      <c r="C48" s="7"/>
      <c r="D48" s="7"/>
      <c r="E48" s="7"/>
      <c r="F48" s="7"/>
      <c r="G48" s="7"/>
      <c r="H48" s="7"/>
      <c r="I48" s="7"/>
      <c r="J48" s="7"/>
    </row>
    <row r="49" spans="1:10" x14ac:dyDescent="0.2">
      <c r="B49" s="8" t="s">
        <v>82</v>
      </c>
      <c r="C49" s="8" t="s">
        <v>83</v>
      </c>
      <c r="D49" s="8" t="s">
        <v>84</v>
      </c>
      <c r="E49" s="8" t="s">
        <v>5</v>
      </c>
      <c r="F49" s="8" t="s">
        <v>120</v>
      </c>
      <c r="G49" s="8" t="s">
        <v>7</v>
      </c>
      <c r="H49" s="8" t="s">
        <v>8</v>
      </c>
      <c r="I49" s="12" t="s">
        <v>9</v>
      </c>
      <c r="J49" s="8" t="s">
        <v>10</v>
      </c>
    </row>
    <row r="50" spans="1:10" x14ac:dyDescent="0.2">
      <c r="B50" s="11">
        <f>AVERAGE(B42:B45)</f>
        <v>95</v>
      </c>
      <c r="C50" s="11">
        <f>AVERAGE(C42:C45)</f>
        <v>81.25</v>
      </c>
      <c r="D50" s="11">
        <f>AVERAGE(D42:D45)</f>
        <v>80</v>
      </c>
      <c r="E50" s="11">
        <f>AVERAGE(E42:E45)</f>
        <v>100</v>
      </c>
      <c r="F50" s="11">
        <f>AVERAGE(F42:F45)</f>
        <v>85</v>
      </c>
      <c r="G50" s="11">
        <f>AVERAGE(G42:G45)</f>
        <v>100</v>
      </c>
      <c r="H50" s="11">
        <f>AVERAGE(H42:H45)</f>
        <v>100</v>
      </c>
      <c r="I50" s="11">
        <f>AVERAGE(I42:I45)</f>
        <v>90</v>
      </c>
      <c r="J50" s="13">
        <f>AVERAGE(J42:J45)</f>
        <v>95</v>
      </c>
    </row>
    <row r="51" spans="1:10" x14ac:dyDescent="0.2">
      <c r="A51" s="6"/>
      <c r="B51" s="6"/>
      <c r="C51" s="6"/>
      <c r="D51" s="6"/>
      <c r="E51" s="6"/>
      <c r="F51" s="6"/>
      <c r="G51" s="6"/>
      <c r="H51" s="6"/>
      <c r="I51" s="6"/>
      <c r="J51" s="6"/>
    </row>
    <row r="53" spans="1:10" x14ac:dyDescent="0.2">
      <c r="A53" t="s">
        <v>121</v>
      </c>
    </row>
    <row r="54" spans="1:10" x14ac:dyDescent="0.2">
      <c r="A54" s="8" t="s">
        <v>119</v>
      </c>
      <c r="B54" s="8" t="s">
        <v>122</v>
      </c>
    </row>
    <row r="55" spans="1:10" x14ac:dyDescent="0.2">
      <c r="A55" s="9" t="s">
        <v>81</v>
      </c>
      <c r="B55" s="9">
        <f>AVERAGE(B37:J37)</f>
        <v>76.666666666666671</v>
      </c>
    </row>
    <row r="56" spans="1:10" x14ac:dyDescent="0.2">
      <c r="A56" s="9" t="s">
        <v>68</v>
      </c>
      <c r="B56" s="9">
        <f>AVERAGE(B36:J36)</f>
        <v>100</v>
      </c>
    </row>
    <row r="57" spans="1:10" x14ac:dyDescent="0.2">
      <c r="A57" s="9" t="s">
        <v>50</v>
      </c>
      <c r="B57" s="9">
        <f>AVERAGE(B35:J35)</f>
        <v>95.555555555555557</v>
      </c>
    </row>
    <row r="58" spans="1:10" x14ac:dyDescent="0.2">
      <c r="A58" s="9" t="s">
        <v>0</v>
      </c>
      <c r="B58" s="9">
        <f>AVERAGE(B34:J34)</f>
        <v>95</v>
      </c>
    </row>
  </sheetData>
  <conditionalFormatting sqref="B42:J4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Khalloqi</dc:creator>
  <cp:lastModifiedBy>Ryan Khalloqi</cp:lastModifiedBy>
  <dcterms:created xsi:type="dcterms:W3CDTF">2026-02-25T01:32:27Z</dcterms:created>
  <dcterms:modified xsi:type="dcterms:W3CDTF">2026-02-25T03:08:35Z</dcterms:modified>
</cp:coreProperties>
</file>